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<sst xmlns="http://schemas.openxmlformats.org/spreadsheetml/2006/main" count="259" uniqueCount="194">
  <si>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( 0231)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</si>
  <si>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</si>
  <si>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</si>
  <si>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</si>
  <si>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</si>
  <si>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</si>
  <si>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</si>
  <si>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管网末梢水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/荣盛华府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</si>
  <si>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</si>
  <si>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</si>
  <si>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</si>
  <si>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</si>
  <si>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</si>
  <si>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</si>
  <si>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( 0231)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</si>
  <si>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</si>
  <si>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</si>
  <si>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</si>
  <si>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</si>
  <si>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管网末梢水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</si>
  <si>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</si>
  <si>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</si>
  <si>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</si>
  <si>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</si>
  <si>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</si>
  <si>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</si>
  <si>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</si>
  <si>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</si>
  <si>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</si>
  <si>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</si>
  <si>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荣盛华府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</si>
  <si>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</si>
  <si>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</si>
  <si>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</si>
  <si>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W260205C20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</si>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</sst>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0_ "/>
    <numFmt numFmtId="177" formatCode="0.0_ "/>
    <numFmt numFmtId="178" formatCode="_ \¥* #,##0.00_ ;_ \¥* \-#,##0.00_ ;_ \¥* &quot;-&quot;??_ ;_ @_ "/>
    <numFmt numFmtId="179" formatCode="0.00000_ "/>
    <numFmt numFmtId="180" formatCode="0.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7" borderId="0" applyNumberFormat="0" applyBorder="0" applyAlignment="0" applyProtection="0">
      <alignment vertical="center"/>
    </xf>
    <xf numFmtId="0" fontId="30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15" borderId="20" applyNumberFormat="0" applyFont="0" applyAlignment="0" applyProtection="0">
      <alignment vertical="center"/>
    </xf>
    <xf numFmtId="0" fontId="8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/>
    <xf numFmtId="0" fontId="40" fillId="0" borderId="19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5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4" fillId="8" borderId="17" applyNumberFormat="0" applyAlignment="0" applyProtection="0">
      <alignment vertical="center"/>
    </xf>
    <xf numFmtId="0" fontId="44" fillId="8" borderId="16" applyNumberFormat="0" applyAlignment="0" applyProtection="0">
      <alignment vertical="center"/>
    </xf>
    <xf numFmtId="0" fontId="42" fillId="16" borderId="21" applyNumberFormat="0" applyAlignment="0" applyProtection="0">
      <alignment vertical="center"/>
    </xf>
    <xf numFmtId="0" fontId="8" fillId="0" borderId="0"/>
    <xf numFmtId="0" fontId="8" fillId="0" borderId="0"/>
    <xf numFmtId="0" fontId="28" fillId="6" borderId="0" applyNumberFormat="0" applyBorder="0" applyAlignment="0" applyProtection="0">
      <alignment vertical="center"/>
    </xf>
    <xf numFmtId="0" fontId="8" fillId="0" borderId="0"/>
    <xf numFmtId="0" fontId="29" fillId="20" borderId="0" applyNumberFormat="0" applyBorder="0" applyAlignment="0" applyProtection="0">
      <alignment vertical="center"/>
    </xf>
    <xf numFmtId="0" fontId="8" fillId="0" borderId="0"/>
    <xf numFmtId="0" fontId="45" fillId="0" borderId="23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8" fillId="0" borderId="0"/>
    <xf numFmtId="0" fontId="29" fillId="23" borderId="0" applyNumberFormat="0" applyBorder="0" applyAlignment="0" applyProtection="0">
      <alignment vertical="center"/>
    </xf>
    <xf numFmtId="0" fontId="8" fillId="0" borderId="0"/>
    <xf numFmtId="0" fontId="28" fillId="22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8" fillId="0" borderId="0"/>
    <xf numFmtId="0" fontId="28" fillId="2" borderId="0" applyNumberFormat="0" applyBorder="0" applyAlignment="0" applyProtection="0">
      <alignment vertical="center"/>
    </xf>
    <xf numFmtId="0" fontId="8" fillId="0" borderId="0"/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6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2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6" fontId="12" fillId="0" borderId="5" xfId="136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6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0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0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3" sqref="C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F8" sqref="F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( 10)字( 2026)第( 0231)号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管网末梢水</v>
      </c>
      <c r="D4" s="21"/>
      <c r="E4" s="21" t="s">
        <v>33</v>
      </c>
      <c r="F4" s="22" t="str">
        <f>'2'!C8</f>
        <v>W260205C20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0.84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7.57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0.15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1.62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0.168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9.91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0">
        <v>0.6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1">
        <v>32.2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103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106</v>
      </c>
      <c r="C24" s="55" t="s">
        <v>61</v>
      </c>
      <c r="D24" s="107" t="s">
        <v>107</v>
      </c>
      <c r="E24" s="55">
        <v>0.05</v>
      </c>
      <c r="F24" s="108" t="s">
        <v>108</v>
      </c>
      <c r="G24" s="109"/>
    </row>
    <row r="25" ht="24" customHeight="1" spans="1:7">
      <c r="A25" s="85">
        <v>18</v>
      </c>
      <c r="B25" s="55" t="s">
        <v>109</v>
      </c>
      <c r="C25" s="55" t="s">
        <v>61</v>
      </c>
      <c r="D25" s="107" t="s">
        <v>110</v>
      </c>
      <c r="E25" s="55">
        <v>0.1</v>
      </c>
      <c r="F25" s="108" t="s">
        <v>111</v>
      </c>
      <c r="G25" s="109"/>
    </row>
    <row r="26" ht="24" customHeight="1" spans="1:7">
      <c r="A26" s="85">
        <v>19</v>
      </c>
      <c r="B26" s="110" t="s">
        <v>112</v>
      </c>
      <c r="C26" s="38" t="s">
        <v>61</v>
      </c>
      <c r="D26" s="107" t="s">
        <v>113</v>
      </c>
      <c r="E26" s="40">
        <v>1</v>
      </c>
      <c r="F26" s="41" t="s">
        <v>114</v>
      </c>
      <c r="G26" s="42"/>
    </row>
    <row r="27" ht="24" customHeight="1" spans="1:7">
      <c r="A27" s="85">
        <v>20</v>
      </c>
      <c r="B27" s="37" t="s">
        <v>115</v>
      </c>
      <c r="C27" s="38" t="s">
        <v>61</v>
      </c>
      <c r="D27" s="104" t="s">
        <v>116</v>
      </c>
      <c r="E27" s="37">
        <v>0.3</v>
      </c>
      <c r="F27" s="41" t="s">
        <v>117</v>
      </c>
      <c r="G27" s="42"/>
    </row>
    <row r="28" ht="24" customHeight="1" spans="1:7">
      <c r="A28" s="85">
        <v>21</v>
      </c>
      <c r="B28" s="37" t="s">
        <v>118</v>
      </c>
      <c r="C28" s="38" t="s">
        <v>61</v>
      </c>
      <c r="D28" s="104" t="s">
        <v>119</v>
      </c>
      <c r="E28" s="37">
        <v>0.1</v>
      </c>
      <c r="F28" s="41" t="s">
        <v>120</v>
      </c>
      <c r="G28" s="42"/>
    </row>
    <row r="29" ht="24" customHeight="1" spans="1:7">
      <c r="A29" s="85">
        <v>22</v>
      </c>
      <c r="B29" s="111" t="s">
        <v>121</v>
      </c>
      <c r="C29" s="46" t="s">
        <v>61</v>
      </c>
      <c r="D29" s="107" t="s">
        <v>122</v>
      </c>
      <c r="E29" s="111">
        <v>0.01</v>
      </c>
      <c r="F29" s="41" t="s">
        <v>123</v>
      </c>
      <c r="G29" s="42"/>
    </row>
    <row r="30" spans="7:7">
      <c r="G30" s="112"/>
    </row>
    <row r="31" ht="15" spans="1:7">
      <c r="A31" s="75" t="s">
        <v>124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0" workbookViewId="0">
      <selection activeCell="I19" sqref="I1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( 10)字( 2026)第( 0231)号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管网末梢水</v>
      </c>
      <c r="D4" s="20"/>
      <c r="E4" s="21" t="s">
        <v>33</v>
      </c>
      <c r="F4" s="22" t="str">
        <f>'3'!F4</f>
        <v>W260205C20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151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287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0.00708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1">
        <v>0.00254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5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6">
        <v>0.16</v>
      </c>
      <c r="E26" s="67" t="s">
        <v>170</v>
      </c>
      <c r="F26" s="62" t="s">
        <v>161</v>
      </c>
      <c r="G26" s="63"/>
    </row>
    <row r="27" ht="24" customHeight="1" spans="1:7">
      <c r="A27" s="36">
        <v>42</v>
      </c>
      <c r="B27" s="68" t="s">
        <v>171</v>
      </c>
      <c r="C27" s="68" t="s">
        <v>172</v>
      </c>
      <c r="D27" s="69">
        <v>0.019</v>
      </c>
      <c r="E27" s="68" t="s">
        <v>173</v>
      </c>
      <c r="F27" s="70" t="s">
        <v>174</v>
      </c>
      <c r="G27" s="70"/>
    </row>
    <row r="28" ht="24" customHeight="1" spans="1:7">
      <c r="A28" s="36">
        <v>43</v>
      </c>
      <c r="B28" s="68" t="s">
        <v>175</v>
      </c>
      <c r="C28" s="68" t="s">
        <v>172</v>
      </c>
      <c r="D28" s="69">
        <v>0.092</v>
      </c>
      <c r="E28" s="68" t="s">
        <v>176</v>
      </c>
      <c r="F28" s="70" t="s">
        <v>177</v>
      </c>
      <c r="G28" s="70"/>
    </row>
    <row r="29" ht="24" customHeight="1" spans="1:7">
      <c r="A29" s="71" t="s">
        <v>178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124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C16" sqref="C16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( 10)字( 2026)第( 0231)号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2026-02-27T06:05:55Z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