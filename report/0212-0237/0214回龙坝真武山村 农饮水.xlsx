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<sst xmlns="http://schemas.openxmlformats.org/spreadsheetml/2006/main" count="257" uniqueCount="190">
  <si>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( 0214)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</si>
  <si>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</si>
  <si>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</si>
  <si>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</si>
  <si>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</si>
  <si>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</si>
  <si>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</si>
  <si>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生活饮用水</t>
    </r>
    <r>
      <rPr>
        <sz val="12"/>
        <color rgb="FF000000"/>
        <rFont val="宋体"/>
        <charset val="134"/>
      </rPr>
      <t>【回龙坝真武山村】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</si>
  <si>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</si>
  <si>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重庆水资源产业股份有限公司高新区自来水分公司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</si>
  <si>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</si>
  <si>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</si>
  <si>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</si>
  <si>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</si>
  <si>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( 0214)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</si>
  <si>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</si>
  <si>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</si>
  <si>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</si>
  <si>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</si>
  <si>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生活饮用水（农饮水）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</si>
  <si>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</si>
  <si>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</si>
  <si>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</si>
  <si>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</si>
  <si>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</si>
  <si>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</si>
  <si>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</si>
  <si>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</si>
  <si>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</si>
  <si>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</si>
  <si>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回龙坝真武山村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</si>
  <si>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</si>
  <si>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</si>
  <si>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</si>
  <si>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W260205C03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</si>
  <si>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</si>
  <si>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</si>
  <si>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</si>
  <si>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</si>
  <si>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</si>
  <si>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</si>
  <si>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</si>
  <si>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</si>
  <si>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</si>
  <si>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</si>
  <si>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</si>
  <si>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</si>
  <si>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</si>
  <si>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</si>
  <si>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</si>
  <si>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</si>
  <si>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</si>
  <si>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</si>
  <si>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</si>
  <si>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</si>
  <si>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</si>
  <si>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</si>
  <si>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</si>
  <si>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</si>
  <si>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</si>
  <si>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</si>
  <si>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</si>
  <si>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</si>
  <si>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</si>
  <si>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</si>
  <si>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</si>
  <si>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</si>
  <si>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</si>
  <si>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</si>
  <si>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</si>
  <si>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</si>
  <si>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</si>
  <si>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</si>
  <si>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</si>
  <si>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</si>
  <si>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</si>
  <si>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</si>
  <si>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</si>
  <si>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</si>
  <si>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</si>
  <si>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</si>
  <si>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</si>
  <si>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</si>
  <si>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</si>
  <si>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</si>
  <si>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</si>
  <si>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</si>
  <si>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</si>
  <si>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</si>
  <si>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</si>
  <si>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</si>
  <si>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</si>
  <si>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</si>
  <si>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</si>
  <si>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</si>
  <si>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</si>
  <si>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</si>
  <si>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</si>
  <si>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</si>
  <si>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</si>
  <si>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</si>
  <si>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</si>
  <si>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</si>
  <si>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</si>
  <si>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r>
      <t>＜</t>
    </r>
    <r>
      <rPr>
        <sz val="10"/>
        <rFont val="Times New Roman"/>
        <charset val="134"/>
      </rPr>
      <t>0.050</t>
    </r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</si>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</sst>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_ "/>
    <numFmt numFmtId="177" formatCode="0.000_ "/>
    <numFmt numFmtId="178" formatCode="_ \¥* #,##0.00_ ;_ \¥* \-#,##0.00_ ;_ \¥* &quot;-&quot;??_ ;_ @_ "/>
    <numFmt numFmtId="179" formatCode="0.0000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9" borderId="0" applyNumberFormat="0" applyBorder="0" applyAlignment="0" applyProtection="0">
      <alignment vertical="center"/>
    </xf>
    <xf numFmtId="0" fontId="32" fillId="6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0" fontId="35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4" borderId="17" applyNumberFormat="0" applyAlignment="0" applyProtection="0">
      <alignment vertical="center"/>
    </xf>
    <xf numFmtId="0" fontId="42" fillId="4" borderId="18" applyNumberFormat="0" applyAlignment="0" applyProtection="0">
      <alignment vertical="center"/>
    </xf>
    <xf numFmtId="0" fontId="41" fillId="22" borderId="22" applyNumberFormat="0" applyAlignment="0" applyProtection="0">
      <alignment vertical="center"/>
    </xf>
    <xf numFmtId="0" fontId="8" fillId="0" borderId="0"/>
    <xf numFmtId="0" fontId="8" fillId="0" borderId="0"/>
    <xf numFmtId="0" fontId="31" fillId="26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43" fillId="0" borderId="23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8" fillId="0" borderId="0"/>
    <xf numFmtId="0" fontId="29" fillId="8" borderId="0" applyNumberFormat="0" applyBorder="0" applyAlignment="0" applyProtection="0">
      <alignment vertical="center"/>
    </xf>
    <xf numFmtId="0" fontId="8" fillId="0" borderId="0"/>
    <xf numFmtId="0" fontId="31" fillId="2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8" fillId="0" borderId="0"/>
    <xf numFmtId="0" fontId="31" fillId="24" borderId="0" applyNumberFormat="0" applyBorder="0" applyAlignment="0" applyProtection="0">
      <alignment vertical="center"/>
    </xf>
    <xf numFmtId="0" fontId="8" fillId="0" borderId="0"/>
    <xf numFmtId="0" fontId="31" fillId="1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8" fillId="0" borderId="0"/>
    <xf numFmtId="0" fontId="29" fillId="2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8" fillId="0" borderId="0"/>
    <xf numFmtId="0" fontId="29" fillId="3" borderId="0" applyNumberFormat="0" applyBorder="0" applyAlignment="0" applyProtection="0">
      <alignment vertical="center"/>
    </xf>
    <xf numFmtId="0" fontId="8" fillId="0" borderId="0"/>
    <xf numFmtId="0" fontId="31" fillId="15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8" fillId="0" borderId="0"/>
    <xf numFmtId="0" fontId="31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2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2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1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1" sqref="C1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G8" sqref="G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9.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11.625" style="73" customWidth="1"/>
    <col min="4" max="4" width="11.375" style="73" customWidth="1"/>
    <col min="5" max="5" width="17.25" style="73" customWidth="1"/>
    <col min="6" max="6" width="5.25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( 10)字( 2026)第( 0214)号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生活饮用水（农饮水）</v>
      </c>
      <c r="D4" s="21"/>
      <c r="E4" s="21" t="s">
        <v>33</v>
      </c>
      <c r="F4" s="22" t="str">
        <f>'2'!C8</f>
        <v>W260205C03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0.41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8.14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0.15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1.21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0.184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18.2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3">
        <v>1.66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2">
        <v>41.1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4" t="s">
        <v>100</v>
      </c>
      <c r="C22" s="95" t="s">
        <v>61</v>
      </c>
      <c r="D22" s="96" t="s">
        <v>101</v>
      </c>
      <c r="E22" s="95">
        <v>0.7</v>
      </c>
      <c r="F22" s="97" t="s">
        <v>102</v>
      </c>
      <c r="G22" s="98"/>
    </row>
    <row r="23" ht="24" customHeight="1" spans="1:7">
      <c r="A23" s="82">
        <v>16</v>
      </c>
      <c r="B23" s="94" t="s">
        <v>103</v>
      </c>
      <c r="C23" s="95" t="s">
        <v>61</v>
      </c>
      <c r="D23" s="96" t="s">
        <v>104</v>
      </c>
      <c r="E23" s="95">
        <v>0.7</v>
      </c>
      <c r="F23" s="97" t="s">
        <v>102</v>
      </c>
      <c r="G23" s="98"/>
    </row>
    <row r="24" ht="24" customHeight="1" spans="1:7">
      <c r="A24" s="82">
        <v>17</v>
      </c>
      <c r="B24" s="55" t="s">
        <v>105</v>
      </c>
      <c r="C24" s="55" t="s">
        <v>61</v>
      </c>
      <c r="D24" s="99" t="s">
        <v>106</v>
      </c>
      <c r="E24" s="55">
        <v>0.05</v>
      </c>
      <c r="F24" s="100" t="s">
        <v>107</v>
      </c>
      <c r="G24" s="101"/>
    </row>
    <row r="25" ht="24" customHeight="1" spans="1:7">
      <c r="A25" s="82">
        <v>18</v>
      </c>
      <c r="B25" s="55" t="s">
        <v>108</v>
      </c>
      <c r="C25" s="55" t="s">
        <v>61</v>
      </c>
      <c r="D25" s="99" t="s">
        <v>109</v>
      </c>
      <c r="E25" s="55">
        <v>0.1</v>
      </c>
      <c r="F25" s="100" t="s">
        <v>110</v>
      </c>
      <c r="G25" s="101"/>
    </row>
    <row r="26" ht="24" customHeight="1" spans="1:7">
      <c r="A26" s="82">
        <v>19</v>
      </c>
      <c r="B26" s="102" t="s">
        <v>111</v>
      </c>
      <c r="C26" s="38" t="s">
        <v>61</v>
      </c>
      <c r="D26" s="99" t="s">
        <v>112</v>
      </c>
      <c r="E26" s="40">
        <v>1</v>
      </c>
      <c r="F26" s="41" t="s">
        <v>113</v>
      </c>
      <c r="G26" s="42"/>
    </row>
    <row r="27" ht="24" customHeight="1" spans="1:7">
      <c r="A27" s="82">
        <v>20</v>
      </c>
      <c r="B27" s="37" t="s">
        <v>114</v>
      </c>
      <c r="C27" s="38" t="s">
        <v>61</v>
      </c>
      <c r="D27" s="96" t="s">
        <v>115</v>
      </c>
      <c r="E27" s="37">
        <v>0.3</v>
      </c>
      <c r="F27" s="41" t="s">
        <v>116</v>
      </c>
      <c r="G27" s="42"/>
    </row>
    <row r="28" ht="24" customHeight="1" spans="1:7">
      <c r="A28" s="82">
        <v>21</v>
      </c>
      <c r="B28" s="37" t="s">
        <v>117</v>
      </c>
      <c r="C28" s="38" t="s">
        <v>61</v>
      </c>
      <c r="D28" s="99" t="s">
        <v>112</v>
      </c>
      <c r="E28" s="37">
        <v>0.1</v>
      </c>
      <c r="F28" s="41" t="s">
        <v>118</v>
      </c>
      <c r="G28" s="42"/>
    </row>
    <row r="29" ht="24" customHeight="1" spans="1:7">
      <c r="A29" s="82">
        <v>22</v>
      </c>
      <c r="B29" s="103" t="s">
        <v>119</v>
      </c>
      <c r="C29" s="46" t="s">
        <v>61</v>
      </c>
      <c r="D29" s="99" t="s">
        <v>120</v>
      </c>
      <c r="E29" s="103">
        <v>0.01</v>
      </c>
      <c r="F29" s="41" t="s">
        <v>121</v>
      </c>
      <c r="G29" s="42"/>
    </row>
    <row r="30" spans="7:7">
      <c r="G30" s="104"/>
    </row>
    <row r="31" ht="15" spans="1:7">
      <c r="A31" s="72" t="s">
        <v>122</v>
      </c>
      <c r="B31" s="72"/>
      <c r="C31" s="72"/>
      <c r="D31" s="72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9" workbookViewId="0">
      <selection activeCell="K25" sqref="K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( 10)字( 2026)第( 0214)号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生活饮用水（农饮水）</v>
      </c>
      <c r="D4" s="20"/>
      <c r="E4" s="21" t="s">
        <v>33</v>
      </c>
      <c r="F4" s="22" t="str">
        <f>'3'!F4</f>
        <v>W260205C03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0.051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177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310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0.0178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0.00724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0">
        <v>0.00243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165</v>
      </c>
      <c r="C26" s="55" t="s">
        <v>44</v>
      </c>
      <c r="D26" s="63">
        <v>0.44</v>
      </c>
      <c r="E26" s="64" t="s">
        <v>166</v>
      </c>
      <c r="F26" s="61" t="s">
        <v>158</v>
      </c>
      <c r="G26" s="62"/>
    </row>
    <row r="27" ht="24" customHeight="1" spans="1:7">
      <c r="A27" s="36">
        <v>42</v>
      </c>
      <c r="B27" s="65" t="s">
        <v>167</v>
      </c>
      <c r="C27" s="65" t="s">
        <v>168</v>
      </c>
      <c r="D27" s="66">
        <v>0.067</v>
      </c>
      <c r="E27" s="65" t="s">
        <v>169</v>
      </c>
      <c r="F27" s="67" t="s">
        <v>170</v>
      </c>
      <c r="G27" s="67"/>
    </row>
    <row r="28" ht="24" customHeight="1" spans="1:7">
      <c r="A28" s="36">
        <v>43</v>
      </c>
      <c r="B28" s="65" t="s">
        <v>171</v>
      </c>
      <c r="C28" s="65" t="s">
        <v>168</v>
      </c>
      <c r="D28" s="66">
        <v>0.099</v>
      </c>
      <c r="E28" s="65" t="s">
        <v>172</v>
      </c>
      <c r="F28" s="67" t="s">
        <v>173</v>
      </c>
      <c r="G28" s="67"/>
    </row>
    <row r="29" ht="24" customHeight="1" spans="1:7">
      <c r="A29" s="68" t="s">
        <v>174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122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E2" sqref="E2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( 10)字( 2026)第( 0214)号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2026-02-27T01:30:05Z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