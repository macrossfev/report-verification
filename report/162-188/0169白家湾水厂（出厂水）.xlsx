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<sst xmlns="http://schemas.openxmlformats.org/spreadsheetml/2006/main" count="259" uniqueCount="188">
  <si>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( 0169)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</si>
  <si>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</si>
  <si>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</si>
  <si>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</si>
  <si>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</si>
  <si>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</si>
  <si>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</si>
  <si>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出厂水</t>
    </r>
    <r>
      <rPr>
        <sz val="12"/>
        <color rgb="FF000000"/>
        <rFont val="宋体"/>
        <charset val="134"/>
      </rPr>
      <t>【白家湾水厂】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</si>
  <si>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</si>
  <si>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</si>
  <si>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</si>
  <si>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</si>
  <si>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</si>
  <si>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02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</si>
  <si>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( 0169 )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</si>
  <si>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</si>
  <si>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</si>
  <si>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</si>
  <si>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</si>
  <si>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出厂水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</si>
  <si>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</si>
  <si>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</si>
  <si>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</si>
  <si>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</si>
  <si>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</si>
  <si>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</si>
  <si>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</si>
  <si>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</si>
  <si>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</si>
  <si>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</si>
  <si>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白家湾水厂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</si>
  <si>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</si>
  <si>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</si>
  <si>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</si>
  <si>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W260204C07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</si>
  <si>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</si>
  <si>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</si>
  <si>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</si>
  <si>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</si>
  <si>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</si>
  <si>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</si>
  <si>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</si>
  <si>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</si>
  <si>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</si>
  <si>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</si>
  <si>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</si>
  <si>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</si>
  <si>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</si>
  <si>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</si>
  <si>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</si>
  <si>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</si>
  <si>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</si>
  <si>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</si>
  <si>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</si>
  <si>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</si>
  <si>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</si>
  <si>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</si>
  <si>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</si>
  <si>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</si>
  <si>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</si>
  <si>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</si>
  <si>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</si>
  <si>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0.3~2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</si>
  <si>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</si>
  <si>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</si>
  <si>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</si>
  <si>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</si>
  <si>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</si>
  <si>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</si>
  <si>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</si>
  <si>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</si>
  <si>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</si>
  <si>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</si>
  <si>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</si>
  <si>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</si>
  <si>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</si>
  <si>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</si>
  <si>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</si>
  <si>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</si>
  <si>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</si>
  <si>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</si>
  <si>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</si>
  <si>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</si>
  <si>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</si>
  <si>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</si>
  <si>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</si>
  <si>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</si>
  <si>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</si>
  <si>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</si>
  <si>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</si>
  <si>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</si>
  <si>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</si>
  <si>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</si>
  <si>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</si>
  <si>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</si>
  <si>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</si>
  <si>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</si>
  <si>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</si>
  <si>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</si>
  <si>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</si>
  <si>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</si>
  <si>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</si>
  <si>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</si>
  <si>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</si>
  <si>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</si>
  <si>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</si>
  <si>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</si>
  <si>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</si>
  <si>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</si>
  <si>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</si>
  <si>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</si>
  <si>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</si>
  <si>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</si>
  <si>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</si>
  <si>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&lt;0.030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</si>
  <si>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</si>
  <si>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</si>
  <si>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</si>
  <si>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</si>
  <si>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</si>
  <si>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</si>
  <si>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</si>
  <si>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</si>
  <si>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</si>
  <si>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</si>
  <si>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</si>
  <si>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</si>
  <si>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</si>
  <si>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</si>
  <si>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</si>
  <si>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</si>
  <si>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</si>
  <si>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</si>
  <si>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</si>
  <si>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</si>
  <si>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</si>
  <si>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</si>
  <si>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</si>
  <si>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</si>
  <si>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</si>
  <si>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</si>
  <si>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</si>
  <si>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</si>
  <si>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</si>
  <si>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</si>
  <si>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</si>
  <si>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</si>
  <si>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</si>
  <si>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</si>
  <si>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</si>
  <si>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</si>
  <si>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</si>
  <si>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</si>
  <si>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</si>
  <si>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</si>
  <si>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</si>
  <si>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GB/T 5750.8-2023</t>
    </r>
    <r>
      <rPr>
        <sz val="9"/>
        <rFont val="宋体"/>
        <charset val="134"/>
      </rPr>
      <t>中附录A</t>
    </r>
    <r>
      <rPr>
        <sz val="9"/>
        <rFont val="Times New Roman"/>
        <charset val="134"/>
      </rPr>
      <t xml:space="preserve">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</si>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</sst>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00_ "/>
    <numFmt numFmtId="177" formatCode="0.0_ "/>
    <numFmt numFmtId="178" formatCode="0.00000_ "/>
    <numFmt numFmtId="179" formatCode="0.000_ "/>
    <numFmt numFmtId="180" formatCode="_ \¥* #,##0.00_ ;_ \¥* \-#,##0.00_ ;_ \¥* &quot;-&quot;??_ ;_ @_ "/>
    <numFmt numFmtId="181" formatCode="0.00_ "/>
    <numFmt numFmtId="182" formatCode="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1" borderId="0" applyNumberFormat="0" applyBorder="0" applyAlignment="0" applyProtection="0">
      <alignment vertical="center"/>
    </xf>
    <xf numFmtId="0" fontId="31" fillId="4" borderId="16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9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5" fillId="17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4" fillId="0" borderId="0" applyNumberFormat="0" applyFill="0" applyBorder="0" applyAlignment="0" applyProtection="0">
      <alignment vertical="center"/>
    </xf>
    <xf numFmtId="0" fontId="0" fillId="16" borderId="21" applyNumberFormat="0" applyFont="0" applyAlignment="0" applyProtection="0">
      <alignment vertical="center"/>
    </xf>
    <xf numFmtId="0" fontId="8" fillId="0" borderId="0">
      <alignment vertical="center"/>
    </xf>
    <xf numFmtId="0" fontId="35" fillId="1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0" borderId="0"/>
    <xf numFmtId="0" fontId="29" fillId="0" borderId="17" applyNumberFormat="0" applyFill="0" applyAlignment="0" applyProtection="0">
      <alignment vertical="center"/>
    </xf>
    <xf numFmtId="0" fontId="45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5" fillId="13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41" fillId="3" borderId="20" applyNumberFormat="0" applyAlignment="0" applyProtection="0">
      <alignment vertical="center"/>
    </xf>
    <xf numFmtId="0" fontId="28" fillId="3" borderId="16" applyNumberFormat="0" applyAlignment="0" applyProtection="0">
      <alignment vertical="center"/>
    </xf>
    <xf numFmtId="0" fontId="40" fillId="15" borderId="19" applyNumberFormat="0" applyAlignment="0" applyProtection="0">
      <alignment vertical="center"/>
    </xf>
    <xf numFmtId="0" fontId="8" fillId="0" borderId="0"/>
    <xf numFmtId="0" fontId="8" fillId="0" borderId="0"/>
    <xf numFmtId="0" fontId="35" fillId="8" borderId="0" applyNumberFormat="0" applyBorder="0" applyAlignment="0" applyProtection="0">
      <alignment vertical="center"/>
    </xf>
    <xf numFmtId="0" fontId="8" fillId="0" borderId="0"/>
    <xf numFmtId="0" fontId="27" fillId="10" borderId="0" applyNumberFormat="0" applyBorder="0" applyAlignment="0" applyProtection="0">
      <alignment vertical="center"/>
    </xf>
    <xf numFmtId="0" fontId="8" fillId="0" borderId="0"/>
    <xf numFmtId="0" fontId="44" fillId="0" borderId="23" applyNumberFormat="0" applyFill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8" fillId="0" borderId="0"/>
    <xf numFmtId="0" fontId="27" fillId="22" borderId="0" applyNumberFormat="0" applyBorder="0" applyAlignment="0" applyProtection="0">
      <alignment vertical="center"/>
    </xf>
    <xf numFmtId="0" fontId="8" fillId="0" borderId="0"/>
    <xf numFmtId="0" fontId="35" fillId="9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8" fillId="0" borderId="0"/>
    <xf numFmtId="0" fontId="35" fillId="24" borderId="0" applyNumberFormat="0" applyBorder="0" applyAlignment="0" applyProtection="0">
      <alignment vertical="center"/>
    </xf>
    <xf numFmtId="0" fontId="8" fillId="0" borderId="0"/>
    <xf numFmtId="0" fontId="35" fillId="25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5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0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177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79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8" fontId="11" fillId="0" borderId="2" xfId="100" applyNumberFormat="1" applyFont="1" applyBorder="1" applyAlignment="1">
      <alignment horizontal="center" vertical="center"/>
    </xf>
    <xf numFmtId="181" fontId="11" fillId="0" borderId="2" xfId="100" applyNumberFormat="1" applyFont="1" applyBorder="1" applyAlignment="1">
      <alignment horizontal="center" vertical="center"/>
    </xf>
    <xf numFmtId="176" fontId="11" fillId="0" borderId="5" xfId="100" applyNumberFormat="1" applyFont="1" applyBorder="1" applyAlignment="1">
      <alignment horizontal="center" vertical="center"/>
    </xf>
    <xf numFmtId="181" fontId="11" fillId="0" borderId="5" xfId="100" applyNumberFormat="1" applyFont="1" applyBorder="1" applyAlignment="1">
      <alignment horizontal="center" vertical="center"/>
    </xf>
    <xf numFmtId="179" fontId="11" fillId="0" borderId="5" xfId="100" applyNumberFormat="1" applyFont="1" applyBorder="1" applyAlignment="1">
      <alignment horizontal="center" vertical="center"/>
    </xf>
    <xf numFmtId="181" fontId="11" fillId="0" borderId="5" xfId="136" applyNumberFormat="1" applyFont="1" applyBorder="1" applyAlignment="1">
      <alignment horizontal="center" vertical="center"/>
    </xf>
    <xf numFmtId="179" fontId="11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79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6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6" applyFont="1" applyBorder="1" applyAlignment="1">
      <alignment horizontal="center" vertical="center" wrapText="1"/>
    </xf>
    <xf numFmtId="0" fontId="11" fillId="0" borderId="4" xfId="136" applyFont="1" applyBorder="1" applyAlignment="1">
      <alignment horizontal="center" vertical="center" wrapText="1"/>
    </xf>
    <xf numFmtId="181" fontId="11" fillId="0" borderId="5" xfId="157" applyNumberFormat="1" applyFont="1" applyBorder="1" applyAlignment="1">
      <alignment horizontal="center" vertical="center"/>
    </xf>
    <xf numFmtId="0" fontId="12" fillId="0" borderId="2" xfId="116" applyFont="1" applyBorder="1" applyAlignment="1">
      <alignment horizontal="center" vertical="center" wrapText="1"/>
    </xf>
    <xf numFmtId="0" fontId="13" fillId="0" borderId="2" xfId="136" applyFont="1" applyFill="1" applyBorder="1" applyAlignment="1">
      <alignment horizontal="center" vertical="center"/>
    </xf>
    <xf numFmtId="0" fontId="13" fillId="0" borderId="2" xfId="212" applyFont="1" applyFill="1" applyBorder="1" applyAlignment="1">
      <alignment horizontal="center" vertical="center" wrapText="1"/>
    </xf>
    <xf numFmtId="179" fontId="11" fillId="0" borderId="2" xfId="136" applyNumberFormat="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79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4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81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6" applyFont="1" applyBorder="1" applyAlignment="1">
      <alignment horizontal="center" vertical="center"/>
    </xf>
    <xf numFmtId="181" fontId="11" fillId="0" borderId="2" xfId="136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82" fontId="14" fillId="0" borderId="5" xfId="136" applyNumberFormat="1" applyFont="1" applyBorder="1" applyAlignment="1">
      <alignment horizontal="center" vertical="center"/>
    </xf>
    <xf numFmtId="182" fontId="11" fillId="0" borderId="5" xfId="136" applyNumberFormat="1" applyFont="1" applyBorder="1" applyAlignment="1">
      <alignment horizontal="center" vertical="center"/>
    </xf>
    <xf numFmtId="177" fontId="11" fillId="0" borderId="5" xfId="136" applyNumberFormat="1" applyFont="1" applyBorder="1" applyAlignment="1">
      <alignment horizontal="center" vertical="center"/>
    </xf>
    <xf numFmtId="181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10" workbookViewId="0">
      <selection activeCell="C17" sqref="C17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5" t="s">
        <v>0</v>
      </c>
      <c r="C1" s="145"/>
    </row>
    <row r="2" ht="30" customHeight="1" spans="1:3">
      <c r="A2" s="146"/>
      <c r="B2" s="147" t="s">
        <v>1</v>
      </c>
      <c r="C2" s="147"/>
    </row>
    <row r="3" ht="95.1" customHeight="1" spans="2:3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3">
      <c r="A5" s="148" t="s">
        <v>4</v>
      </c>
      <c r="B5" s="148"/>
      <c r="C5" s="148"/>
    </row>
    <row r="6" ht="69.95" customHeight="1" spans="1:3">
      <c r="A6" s="148" t="s">
        <v>5</v>
      </c>
      <c r="B6" s="148"/>
      <c r="C6" s="148"/>
    </row>
    <row r="7" ht="78.75" customHeight="1" spans="2:3">
      <c r="B7" s="148"/>
      <c r="C7" s="148"/>
    </row>
    <row r="8" ht="30" customHeight="1" spans="2:3">
      <c r="B8" s="149" t="s">
        <v>6</v>
      </c>
      <c r="C8" s="150" t="s">
        <v>7</v>
      </c>
    </row>
    <row r="9" ht="30" customHeight="1" spans="2:3">
      <c r="B9" s="149" t="s">
        <v>8</v>
      </c>
      <c r="C9" s="151" t="s">
        <v>9</v>
      </c>
    </row>
    <row r="10" ht="30" customHeight="1" spans="2:3">
      <c r="B10" s="152" t="s">
        <v>10</v>
      </c>
      <c r="C10" s="153" t="s">
        <v>11</v>
      </c>
    </row>
    <row r="11" ht="30" customHeight="1" spans="2:3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4" t="s">
        <v>14</v>
      </c>
      <c r="B1" s="15"/>
      <c r="C1" s="15"/>
      <c r="D1" s="15"/>
      <c r="E1" s="2" t="s">
        <v>15</v>
      </c>
    </row>
    <row r="2" ht="39" customHeight="1" spans="1:5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2" t="s">
        <v>50</v>
      </c>
      <c r="B19" s="72"/>
      <c r="C19" s="72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( 10)字( 2026)第( 0169 )号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出厂水</v>
      </c>
      <c r="D4" s="21"/>
      <c r="E4" s="21" t="s">
        <v>33</v>
      </c>
      <c r="F4" s="22" t="str">
        <f>'2'!C8</f>
        <v>W260204C07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0.46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7.41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0.37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1.45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0.082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4.94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2">
        <v>0.64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9.28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2">
        <v>16</v>
      </c>
      <c r="B23" s="93" t="s">
        <v>103</v>
      </c>
      <c r="C23" s="94" t="s">
        <v>61</v>
      </c>
      <c r="D23" s="95" t="s">
        <v>101</v>
      </c>
      <c r="E23" s="94">
        <v>0.7</v>
      </c>
      <c r="F23" s="96" t="s">
        <v>102</v>
      </c>
      <c r="G23" s="97"/>
    </row>
    <row r="24" ht="24" customHeight="1" spans="1:7">
      <c r="A24" s="82">
        <v>17</v>
      </c>
      <c r="B24" s="55" t="s">
        <v>104</v>
      </c>
      <c r="C24" s="55" t="s">
        <v>61</v>
      </c>
      <c r="D24" s="95" t="s">
        <v>105</v>
      </c>
      <c r="E24" s="55">
        <v>0.05</v>
      </c>
      <c r="F24" s="98" t="s">
        <v>106</v>
      </c>
      <c r="G24" s="99"/>
    </row>
    <row r="25" ht="24" customHeight="1" spans="1:7">
      <c r="A25" s="82">
        <v>18</v>
      </c>
      <c r="B25" s="55" t="s">
        <v>107</v>
      </c>
      <c r="C25" s="55" t="s">
        <v>61</v>
      </c>
      <c r="D25" s="95" t="s">
        <v>108</v>
      </c>
      <c r="E25" s="55">
        <v>0.1</v>
      </c>
      <c r="F25" s="98" t="s">
        <v>109</v>
      </c>
      <c r="G25" s="99"/>
    </row>
    <row r="26" ht="24" customHeight="1" spans="1:7">
      <c r="A26" s="82">
        <v>19</v>
      </c>
      <c r="B26" s="100" t="s">
        <v>110</v>
      </c>
      <c r="C26" s="38" t="s">
        <v>61</v>
      </c>
      <c r="D26" s="95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5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5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1" t="s">
        <v>118</v>
      </c>
      <c r="C29" s="46" t="s">
        <v>61</v>
      </c>
      <c r="D29" s="95" t="s">
        <v>119</v>
      </c>
      <c r="E29" s="101">
        <v>0.01</v>
      </c>
      <c r="F29" s="41" t="s">
        <v>120</v>
      </c>
      <c r="G29" s="42"/>
    </row>
    <row r="30" spans="7:7">
      <c r="G30" s="102"/>
    </row>
    <row r="31" ht="15" spans="1:7">
      <c r="A31" s="72" t="s">
        <v>121</v>
      </c>
      <c r="B31" s="72"/>
      <c r="C31" s="72"/>
      <c r="D31" s="72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6" workbookViewId="0">
      <selection activeCell="H29" sqref="H29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( 10)字( 2026)第( 0169 )号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出厂水</v>
      </c>
      <c r="D4" s="20"/>
      <c r="E4" s="21" t="s">
        <v>33</v>
      </c>
      <c r="F4" s="22" t="str">
        <f>'3'!F4</f>
        <v>W260204C07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0.114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36.6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71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0">
        <v>0.0049</v>
      </c>
      <c r="E21" s="60">
        <v>0.06</v>
      </c>
      <c r="F21" s="61" t="s">
        <v>156</v>
      </c>
      <c r="G21" s="62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1" t="s">
        <v>156</v>
      </c>
      <c r="G22" s="62"/>
    </row>
    <row r="23" ht="24" customHeight="1" spans="1:7">
      <c r="A23" s="36">
        <v>38</v>
      </c>
      <c r="B23" s="60" t="s">
        <v>159</v>
      </c>
      <c r="C23" s="60" t="s">
        <v>61</v>
      </c>
      <c r="D23" s="53" t="s">
        <v>158</v>
      </c>
      <c r="E23" s="60">
        <v>0.06</v>
      </c>
      <c r="F23" s="61" t="s">
        <v>156</v>
      </c>
      <c r="G23" s="62"/>
    </row>
    <row r="24" ht="24" customHeight="1" spans="1:7">
      <c r="A24" s="36">
        <v>39</v>
      </c>
      <c r="B24" s="60" t="s">
        <v>160</v>
      </c>
      <c r="C24" s="60" t="s">
        <v>61</v>
      </c>
      <c r="D24" s="53" t="s">
        <v>158</v>
      </c>
      <c r="E24" s="60">
        <v>0.1</v>
      </c>
      <c r="F24" s="61" t="s">
        <v>156</v>
      </c>
      <c r="G24" s="62"/>
    </row>
    <row r="25" ht="24" customHeight="1" spans="1:7">
      <c r="A25" s="36">
        <v>40</v>
      </c>
      <c r="B25" s="60" t="s">
        <v>161</v>
      </c>
      <c r="C25" s="60" t="s">
        <v>61</v>
      </c>
      <c r="D25" s="60" t="s">
        <v>162</v>
      </c>
      <c r="E25" s="60">
        <v>0.1</v>
      </c>
      <c r="F25" s="61" t="s">
        <v>156</v>
      </c>
      <c r="G25" s="62"/>
    </row>
    <row r="26" ht="24" customHeight="1" spans="1:7">
      <c r="A26" s="36">
        <v>41</v>
      </c>
      <c r="B26" s="55" t="s">
        <v>163</v>
      </c>
      <c r="C26" s="55" t="s">
        <v>44</v>
      </c>
      <c r="D26" s="63">
        <v>0.1</v>
      </c>
      <c r="E26" s="64" t="s">
        <v>164</v>
      </c>
      <c r="F26" s="61" t="s">
        <v>156</v>
      </c>
      <c r="G26" s="62"/>
    </row>
    <row r="27" ht="24" customHeight="1" spans="1:7">
      <c r="A27" s="36">
        <v>42</v>
      </c>
      <c r="B27" s="65" t="s">
        <v>165</v>
      </c>
      <c r="C27" s="65" t="s">
        <v>166</v>
      </c>
      <c r="D27" s="53">
        <v>0.051</v>
      </c>
      <c r="E27" s="65" t="s">
        <v>167</v>
      </c>
      <c r="F27" s="66" t="s">
        <v>168</v>
      </c>
      <c r="G27" s="66"/>
    </row>
    <row r="28" ht="24" customHeight="1" spans="1:7">
      <c r="A28" s="36">
        <v>43</v>
      </c>
      <c r="B28" s="65" t="s">
        <v>169</v>
      </c>
      <c r="C28" s="65" t="s">
        <v>166</v>
      </c>
      <c r="D28" s="67">
        <v>0.056</v>
      </c>
      <c r="E28" s="65" t="s">
        <v>170</v>
      </c>
      <c r="F28" s="66" t="s">
        <v>171</v>
      </c>
      <c r="G28" s="66"/>
    </row>
    <row r="29" ht="24" customHeight="1" spans="1:7">
      <c r="A29" s="68" t="s">
        <v>172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( 10)字( 2026)第( 0169 )号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2026-02-25T07:30:30Z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065DC45E1B7A475BA9ECD9F432C7B23E_12</vt:lpwstr>
  </property>
  <property fmtid="{D5CDD505-2E9C-101B-9397-08002B2CF9AE}" pid="4" name="CalculationRule">
    <vt:i4>0</vt:i4>
  </property>
</Properties>
</file>