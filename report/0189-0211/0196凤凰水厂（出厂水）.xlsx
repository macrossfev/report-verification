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凤凰水厂" sheetId="114" r:id="rId1"/>
    <sheet name="凤凰2" sheetId="115" r:id="rId2"/>
    <sheet name="凤凰3" sheetId="116" r:id="rId3"/>
    <sheet name="凤凰4" sheetId="117" r:id="rId4"/>
    <sheet name="凤凰5" sheetId="118" r:id="rId5"/>
  </sheets>
  <definedNames>
    <definedName name="_xlnm.Print_Area" localSheetId="0">凤凰水厂!$A$1:$C$22</definedName>
    <definedName name="_xlnm.Print_Area" localSheetId="2">凤凰3!$A$1:$G$31</definedName>
    <definedName name="_xlnm.Print_Area" localSheetId="3">凤凰4!$A$1:$G$31</definedName>
    <definedName name="_Hlt518806961" localSheetId="4">凤凰5!$A$8</definedName>
    <definedName name="_xlnm.Print_Area" localSheetId="4">凤凰5!$A$1:$A$24</definedName>
  </definedNames>
  <calcPr calcId="144525"/>
</workbook>
</file>

<file path=xl/sharedStrings.xml><?xml version="1.0" encoding="utf-8"?>
<sst xmlns="http://schemas.openxmlformats.org/spreadsheetml/2006/main" count="263" uniqueCount="195">
  <si>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( 0196 )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</si>
  <si>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</si>
  <si>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</si>
  <si>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</si>
  <si>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</si>
  <si>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</si>
  <si>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</si>
  <si>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【凤凰水厂】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</si>
  <si>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</si>
  <si>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</si>
  <si>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巫溪分公司</t>
  </si>
  <si>
    <t>被检单位地址：</t>
  </si>
  <si>
    <t>重庆市巫溪县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</si>
  <si>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</si>
  <si>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</si>
  <si>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( 0196 )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</si>
  <si>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</si>
  <si>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</si>
  <si>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</si>
  <si>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</si>
  <si>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</si>
  <si>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</si>
  <si>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</si>
  <si>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</si>
  <si>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</si>
  <si>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</si>
  <si>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2026.02.02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</si>
  <si>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</si>
  <si>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</si>
  <si>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</si>
  <si>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</si>
  <si>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凤凰水厂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</si>
  <si>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</si>
  <si>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</si>
  <si>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</si>
  <si>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W260202C09</t>
  </si>
  <si>
    <r>
      <rPr>
        <sz val="11"/>
        <color indexed="8"/>
        <rFont val="宋体"/>
        <charset val="134"/>
      </rPr>
      <t>检测日期</t>
    </r>
  </si>
  <si>
    <t>2026.02.02~02.13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</si>
  <si>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</si>
  <si>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</si>
  <si>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</si>
  <si>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</si>
  <si>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</si>
  <si>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r>
      <rPr>
        <sz val="11"/>
        <color rgb="FF000000"/>
        <rFont val="宋体"/>
        <charset val="134"/>
      </rPr>
      <t>该水样所检43项指标
均符合《生活饮用水卫生标准》</t>
    </r>
    <r>
      <rPr>
        <sz val="11"/>
        <color rgb="FF000000"/>
        <rFont val="Times New Roman"/>
        <charset val="134"/>
      </rPr>
      <t>GB5749-2022</t>
    </r>
    <r>
      <rPr>
        <sz val="11"/>
        <color rgb="FF000000"/>
        <rFont val="宋体"/>
        <charset val="134"/>
      </rPr>
      <t>的标准限值要求</t>
    </r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</si>
  <si>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</si>
  <si>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</si>
  <si>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</si>
  <si>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</si>
  <si>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</si>
  <si>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</si>
  <si>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</si>
  <si>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</si>
  <si>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</si>
  <si>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</si>
  <si>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</si>
  <si>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</si>
  <si>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</si>
  <si>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</si>
  <si>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</si>
  <si>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</si>
  <si>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</si>
  <si>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</si>
  <si>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</si>
  <si>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</si>
  <si>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</si>
  <si>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</si>
  <si>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</si>
  <si>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</si>
  <si>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</si>
  <si>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</si>
  <si>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</si>
  <si>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</si>
  <si>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</si>
  <si>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</si>
  <si>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</si>
  <si>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</si>
  <si>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</si>
  <si>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</si>
  <si>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</si>
  <si>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</si>
  <si>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</si>
  <si>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</si>
  <si>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</si>
  <si>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</si>
  <si>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</si>
  <si>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</si>
  <si>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</si>
  <si>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</si>
  <si>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</si>
  <si>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</si>
  <si>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</si>
  <si>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</si>
  <si>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</si>
  <si>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</si>
  <si>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</si>
  <si>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</si>
  <si>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</si>
  <si>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</si>
  <si>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</si>
  <si>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</si>
  <si>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</si>
  <si>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</si>
  <si>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</si>
  <si>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</si>
  <si>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</si>
  <si>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</si>
  <si>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</si>
  <si>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</si>
  <si>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</si>
  <si>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</si>
  <si>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</si>
  <si>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</si>
  <si>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</si>
  <si>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</si>
  <si>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</si>
  <si>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</si>
  <si>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</si>
  <si>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</si>
  <si>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</si>
  <si>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</si>
  <si>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</si>
  <si>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</si>
  <si>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</si>
  <si>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</si>
  <si>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</si>
  <si>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</si>
  <si>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</si>
  <si>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</si>
  <si>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</si>
  <si>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</si>
  <si>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</si>
  <si>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</si>
  <si>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</si>
  <si>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</si>
  <si>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</si>
  <si>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</si>
  <si>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</si>
  <si>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</si>
  <si>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</si>
  <si>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</si>
  <si>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</si>
  <si>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</si>
  <si>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</si>
  <si>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</si>
  <si>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</si>
  <si>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</si>
  <si>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</si>
  <si>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</si>
  <si>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</si>
  <si>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</si>
  <si>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</si>
  <si>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</si>
  <si>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</si>
  <si>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</si>
  <si>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</si>
  <si>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</si>
  <si>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</si>
  <si>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</si>
  <si>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t>&lt;0.000018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</si>
  <si>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</si>
  <si>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</si>
  <si>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</si>
  <si>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</si>
  <si>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</si>
  <si>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</si>
  <si>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</si>
  <si>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</si>
  <si>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</si>
  <si>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t>＜</t>
    </r>
    <r>
      <rPr>
        <sz val="9"/>
        <rFont val="Times New Roman"/>
        <charset val="134"/>
      </rPr>
      <t>0.0012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</si>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</sst>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_ "/>
    <numFmt numFmtId="177" formatCode="0.000_ "/>
    <numFmt numFmtId="178" formatCode="0.000000_ "/>
    <numFmt numFmtId="179" formatCode="_ \¥* #,##0.00_ ;_ \¥* \-#,##0.00_ ;_ \¥* &quot;-&quot;??_ ;_ @_ "/>
    <numFmt numFmtId="180" formatCode="0.00_ "/>
    <numFmt numFmtId="181" formatCode="0.00000_ "/>
    <numFmt numFmtId="182" formatCode="0.0000_ "/>
    <numFmt numFmtId="183" formatCode="0_ "/>
  </numFmts>
  <fonts count="58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2"/>
      <color theme="1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4" borderId="0" applyNumberFormat="0" applyBorder="0" applyAlignment="0" applyProtection="0">
      <alignment vertical="center"/>
    </xf>
    <xf numFmtId="0" fontId="32" fillId="5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1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6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8" fillId="0" borderId="0">
      <alignment vertical="center"/>
    </xf>
    <xf numFmtId="0" fontId="29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8" fillId="0" borderId="0"/>
    <xf numFmtId="0" fontId="30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44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9" fillId="12" borderId="20" applyNumberFormat="0" applyAlignment="0" applyProtection="0">
      <alignment vertical="center"/>
    </xf>
    <xf numFmtId="0" fontId="38" fillId="12" borderId="18" applyNumberFormat="0" applyAlignment="0" applyProtection="0">
      <alignment vertical="center"/>
    </xf>
    <xf numFmtId="0" fontId="36" fillId="10" borderId="19" applyNumberFormat="0" applyAlignment="0" applyProtection="0">
      <alignment vertical="center"/>
    </xf>
    <xf numFmtId="0" fontId="8" fillId="0" borderId="0"/>
    <xf numFmtId="0" fontId="8" fillId="0" borderId="0"/>
    <xf numFmtId="0" fontId="29" fillId="2" borderId="0" applyNumberFormat="0" applyBorder="0" applyAlignment="0" applyProtection="0">
      <alignment vertical="center"/>
    </xf>
    <xf numFmtId="0" fontId="8" fillId="0" borderId="0"/>
    <xf numFmtId="0" fontId="31" fillId="13" borderId="0" applyNumberFormat="0" applyBorder="0" applyAlignment="0" applyProtection="0">
      <alignment vertical="center"/>
    </xf>
    <xf numFmtId="0" fontId="8" fillId="0" borderId="0"/>
    <xf numFmtId="0" fontId="41" fillId="0" borderId="22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8" fillId="0" borderId="0"/>
    <xf numFmtId="0" fontId="31" fillId="24" borderId="0" applyNumberFormat="0" applyBorder="0" applyAlignment="0" applyProtection="0">
      <alignment vertical="center"/>
    </xf>
    <xf numFmtId="0" fontId="8" fillId="0" borderId="0"/>
    <xf numFmtId="0" fontId="29" fillId="21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8" fillId="0" borderId="0"/>
    <xf numFmtId="0" fontId="29" fillId="9" borderId="0" applyNumberFormat="0" applyBorder="0" applyAlignment="0" applyProtection="0">
      <alignment vertical="center"/>
    </xf>
    <xf numFmtId="0" fontId="8" fillId="0" borderId="0"/>
    <xf numFmtId="0" fontId="29" fillId="2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8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1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82" fontId="12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5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11" xfId="151" applyFont="1" applyBorder="1" applyAlignment="1">
      <alignment horizontal="center" vertical="center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17" fillId="0" borderId="0" xfId="212" applyFont="1" applyAlignment="1">
      <alignment horizontal="left" vertical="top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6" applyNumberFormat="1" applyFont="1" applyBorder="1" applyAlignment="1">
      <alignment horizontal="center" vertical="center"/>
    </xf>
    <xf numFmtId="183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7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9" fillId="0" borderId="0" xfId="176" applyFont="1" applyAlignment="1">
      <alignment horizontal="right" vertical="center"/>
    </xf>
    <xf numFmtId="0" fontId="20" fillId="0" borderId="0" xfId="212" applyFont="1" applyAlignment="1">
      <alignment horizontal="left" vertical="top"/>
    </xf>
    <xf numFmtId="0" fontId="21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3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3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3" fillId="0" borderId="2" xfId="200" applyFont="1" applyBorder="1" applyAlignment="1">
      <alignment horizontal="center" vertical="center"/>
    </xf>
    <xf numFmtId="0" fontId="24" fillId="0" borderId="2" xfId="193" applyFont="1" applyBorder="1" applyAlignment="1">
      <alignment horizontal="center" vertical="center"/>
    </xf>
    <xf numFmtId="0" fontId="25" fillId="0" borderId="3" xfId="200" applyFont="1" applyBorder="1" applyAlignment="1">
      <alignment horizontal="center" vertical="center"/>
    </xf>
    <xf numFmtId="0" fontId="16" fillId="0" borderId="12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6" fillId="0" borderId="6" xfId="200" applyFont="1" applyBorder="1" applyAlignment="1">
      <alignment horizontal="center" vertical="center" wrapText="1"/>
    </xf>
    <xf numFmtId="0" fontId="25" fillId="0" borderId="11" xfId="200" applyFont="1" applyBorder="1" applyAlignment="1">
      <alignment horizontal="center" vertical="center" wrapText="1"/>
    </xf>
    <xf numFmtId="0" fontId="25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5" fillId="0" borderId="14" xfId="200" applyFont="1" applyBorder="1" applyAlignment="1">
      <alignment horizontal="center" vertical="center" wrapText="1"/>
    </xf>
    <xf numFmtId="0" fontId="25" fillId="0" borderId="0" xfId="200" applyFont="1" applyBorder="1" applyAlignment="1">
      <alignment horizontal="center" vertical="center" wrapText="1"/>
    </xf>
    <xf numFmtId="0" fontId="25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5" fillId="0" borderId="9" xfId="200" applyFont="1" applyBorder="1" applyAlignment="1">
      <alignment horizontal="center" vertical="center" wrapText="1"/>
    </xf>
    <xf numFmtId="0" fontId="25" fillId="0" borderId="1" xfId="200" applyFont="1" applyBorder="1" applyAlignment="1">
      <alignment horizontal="center" vertical="center" wrapText="1"/>
    </xf>
    <xf numFmtId="0" fontId="25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2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1" xfId="212" applyBorder="1" applyAlignment="1">
      <alignment horizontal="center" vertical="center"/>
    </xf>
    <xf numFmtId="0" fontId="0" fillId="0" borderId="11" xfId="212" applyBorder="1" applyAlignment="1">
      <alignment horizontal="right" vertical="center"/>
    </xf>
    <xf numFmtId="0" fontId="0" fillId="0" borderId="11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7" fillId="0" borderId="0" xfId="212" applyFont="1" applyAlignment="1">
      <alignment horizontal="center" vertical="center"/>
    </xf>
    <xf numFmtId="0" fontId="28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4" sqref="C14"/>
    </sheetView>
  </sheetViews>
  <sheetFormatPr defaultColWidth="9" defaultRowHeight="13.5" outlineLevelCol="4"/>
  <cols>
    <col min="1" max="1" width="13" style="1" customWidth="1"/>
    <col min="2" max="2" width="18.875" style="1" customWidth="1"/>
    <col min="3" max="3" width="64.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4"/>
      <c r="C10" s="156" t="s">
        <v>10</v>
      </c>
    </row>
    <row r="11" ht="30" customHeight="1" spans="2:3">
      <c r="B11" s="157" t="s">
        <v>11</v>
      </c>
      <c r="C11" s="158" t="s">
        <v>12</v>
      </c>
    </row>
    <row r="12" ht="30" customHeight="1" spans="2:3">
      <c r="B12" s="157" t="s">
        <v>13</v>
      </c>
      <c r="C12" s="159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G8" sqref="G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15</v>
      </c>
      <c r="B1" s="15"/>
      <c r="C1" s="15"/>
      <c r="D1" s="15"/>
      <c r="E1" s="2" t="s">
        <v>16</v>
      </c>
    </row>
    <row r="2" ht="39" customHeight="1" spans="1:5">
      <c r="A2" s="110" t="s">
        <v>17</v>
      </c>
      <c r="B2" s="110"/>
      <c r="C2" s="110"/>
      <c r="D2" s="110"/>
      <c r="E2" s="110"/>
    </row>
    <row r="3" ht="38.25" customHeight="1" spans="1:8">
      <c r="A3" s="111" t="s">
        <v>18</v>
      </c>
      <c r="B3" s="112" t="s">
        <v>19</v>
      </c>
      <c r="C3" s="113" t="s">
        <v>20</v>
      </c>
      <c r="D3" s="114" t="s">
        <v>21</v>
      </c>
      <c r="E3" s="115" t="s">
        <v>22</v>
      </c>
      <c r="F3" s="116"/>
      <c r="G3" s="116"/>
      <c r="H3" s="116"/>
    </row>
    <row r="4" ht="38.25" customHeight="1" spans="1:8">
      <c r="A4" s="111"/>
      <c r="B4" s="112" t="s">
        <v>23</v>
      </c>
      <c r="C4" s="117" t="s">
        <v>24</v>
      </c>
      <c r="D4" s="115" t="s">
        <v>25</v>
      </c>
      <c r="E4" s="118" t="s">
        <v>26</v>
      </c>
      <c r="F4" s="116"/>
      <c r="G4" s="116"/>
      <c r="H4" s="116"/>
    </row>
    <row r="5" ht="38.25" customHeight="1" spans="1:8">
      <c r="A5" s="111"/>
      <c r="B5" s="119" t="s">
        <v>27</v>
      </c>
      <c r="C5" s="114" t="s">
        <v>28</v>
      </c>
      <c r="D5" s="118" t="s">
        <v>29</v>
      </c>
      <c r="E5" s="118" t="s">
        <v>26</v>
      </c>
      <c r="F5" s="116"/>
      <c r="G5" s="116"/>
      <c r="H5" s="116"/>
    </row>
    <row r="6" ht="38.25" customHeight="1" spans="1:8">
      <c r="A6" s="111"/>
      <c r="B6" s="118" t="s">
        <v>30</v>
      </c>
      <c r="C6" s="120" t="s">
        <v>31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32</v>
      </c>
      <c r="C7" s="120" t="s">
        <v>33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34</v>
      </c>
      <c r="C8" s="118" t="s">
        <v>35</v>
      </c>
      <c r="D8" s="118" t="s">
        <v>36</v>
      </c>
      <c r="E8" s="121" t="s">
        <v>37</v>
      </c>
      <c r="F8" s="116"/>
      <c r="G8" s="116"/>
      <c r="H8" s="116"/>
    </row>
    <row r="9" ht="38.25" customHeight="1" spans="1:8">
      <c r="A9" s="111"/>
      <c r="B9" s="118" t="s">
        <v>38</v>
      </c>
      <c r="C9" s="122" t="s">
        <v>39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40</v>
      </c>
      <c r="C10" s="126" t="s">
        <v>41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42</v>
      </c>
      <c r="B13" s="138" t="s">
        <v>43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44</v>
      </c>
      <c r="B14" s="140" t="s">
        <v>45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46</v>
      </c>
      <c r="B15" s="144"/>
      <c r="C15" s="145"/>
      <c r="D15" s="146" t="s">
        <v>47</v>
      </c>
      <c r="E15" s="146"/>
      <c r="F15" s="116"/>
      <c r="G15" s="116"/>
      <c r="H15" s="116"/>
    </row>
    <row r="16" ht="69.95" customHeight="1" spans="1:8">
      <c r="A16" s="143" t="s">
        <v>48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49</v>
      </c>
      <c r="B17" s="116"/>
      <c r="C17" s="143"/>
      <c r="D17" s="116" t="s">
        <v>50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6" t="s">
        <v>51</v>
      </c>
      <c r="B19" s="76"/>
      <c r="C19" s="76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D30" sqref="D30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.375" style="77" customWidth="1"/>
    <col min="7" max="7" width="25.625" style="77" customWidth="1"/>
    <col min="8" max="16384" width="9" style="77"/>
  </cols>
  <sheetData>
    <row r="1" ht="50.1" customHeight="1" spans="1:7">
      <c r="A1" s="78" t="str">
        <f>凤凰2!A1</f>
        <v>国家城市供水水质监测网重庆监测站 ( 10)字( 2026)第( 0196 )号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53</v>
      </c>
      <c r="B3" s="79"/>
      <c r="C3" s="80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凤凰2!C3</f>
        <v>出厂水</v>
      </c>
      <c r="D4" s="21"/>
      <c r="E4" s="21" t="s">
        <v>34</v>
      </c>
      <c r="F4" s="22" t="str">
        <f>凤凰2!C8</f>
        <v>W260202C09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2" t="s">
        <v>59</v>
      </c>
      <c r="G6" s="83"/>
    </row>
    <row r="7" ht="15" customHeight="1" spans="1:7">
      <c r="A7" s="32"/>
      <c r="B7" s="84"/>
      <c r="C7" s="32"/>
      <c r="D7" s="84"/>
      <c r="E7" s="33" t="s">
        <v>60</v>
      </c>
      <c r="F7" s="85"/>
      <c r="G7" s="86"/>
    </row>
    <row r="8" ht="24" customHeight="1" spans="1:7">
      <c r="A8" s="87">
        <v>1</v>
      </c>
      <c r="B8" s="88" t="s">
        <v>61</v>
      </c>
      <c r="C8" s="46" t="s">
        <v>62</v>
      </c>
      <c r="D8" s="89">
        <v>0.13</v>
      </c>
      <c r="E8" s="90" t="s">
        <v>63</v>
      </c>
      <c r="F8" s="90" t="s">
        <v>64</v>
      </c>
      <c r="G8" s="90"/>
    </row>
    <row r="9" ht="24" customHeight="1" spans="1:7">
      <c r="A9" s="87">
        <v>2</v>
      </c>
      <c r="B9" s="38" t="s">
        <v>65</v>
      </c>
      <c r="C9" s="38" t="s">
        <v>45</v>
      </c>
      <c r="D9" s="52">
        <v>7.9</v>
      </c>
      <c r="E9" s="38" t="s">
        <v>66</v>
      </c>
      <c r="F9" s="41" t="s">
        <v>67</v>
      </c>
      <c r="G9" s="42"/>
    </row>
    <row r="10" ht="24" customHeight="1" spans="1:7">
      <c r="A10" s="87">
        <v>3</v>
      </c>
      <c r="B10" s="91" t="s">
        <v>68</v>
      </c>
      <c r="C10" s="91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7">
        <v>4</v>
      </c>
      <c r="B11" s="91" t="s">
        <v>72</v>
      </c>
      <c r="C11" s="38" t="s">
        <v>73</v>
      </c>
      <c r="D11" s="52">
        <v>0.24</v>
      </c>
      <c r="E11" s="54">
        <v>1</v>
      </c>
      <c r="F11" s="41" t="s">
        <v>74</v>
      </c>
      <c r="G11" s="42"/>
    </row>
    <row r="12" ht="24" customHeight="1" spans="1:7">
      <c r="A12" s="87">
        <v>5</v>
      </c>
      <c r="B12" s="38" t="s">
        <v>75</v>
      </c>
      <c r="C12" s="38" t="s">
        <v>45</v>
      </c>
      <c r="D12" s="52" t="s">
        <v>76</v>
      </c>
      <c r="E12" s="38" t="s">
        <v>76</v>
      </c>
      <c r="F12" s="41" t="s">
        <v>77</v>
      </c>
      <c r="G12" s="42"/>
    </row>
    <row r="13" ht="24" customHeight="1" spans="1:7">
      <c r="A13" s="87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7">
        <v>7</v>
      </c>
      <c r="B14" s="46" t="s">
        <v>81</v>
      </c>
      <c r="C14" s="46" t="s">
        <v>62</v>
      </c>
      <c r="D14" s="92">
        <v>0.88</v>
      </c>
      <c r="E14" s="59">
        <v>3</v>
      </c>
      <c r="F14" s="93" t="s">
        <v>82</v>
      </c>
      <c r="G14" s="93"/>
    </row>
    <row r="15" ht="24" customHeight="1" spans="1:7">
      <c r="A15" s="87">
        <v>8</v>
      </c>
      <c r="B15" s="91" t="s">
        <v>83</v>
      </c>
      <c r="C15" s="38" t="s">
        <v>84</v>
      </c>
      <c r="D15" s="94" t="s">
        <v>85</v>
      </c>
      <c r="E15" s="38">
        <v>100</v>
      </c>
      <c r="F15" s="41" t="s">
        <v>86</v>
      </c>
      <c r="G15" s="42"/>
    </row>
    <row r="16" ht="24" customHeight="1" spans="1:7">
      <c r="A16" s="87">
        <v>9</v>
      </c>
      <c r="B16" s="91" t="s">
        <v>87</v>
      </c>
      <c r="C16" s="38" t="s">
        <v>88</v>
      </c>
      <c r="D16" s="95">
        <v>0</v>
      </c>
      <c r="E16" s="91" t="s">
        <v>89</v>
      </c>
      <c r="F16" s="41" t="s">
        <v>90</v>
      </c>
      <c r="G16" s="42"/>
    </row>
    <row r="17" ht="24" customHeight="1" spans="1:7">
      <c r="A17" s="87">
        <v>10</v>
      </c>
      <c r="B17" s="91" t="s">
        <v>91</v>
      </c>
      <c r="C17" s="38" t="s">
        <v>88</v>
      </c>
      <c r="D17" s="95">
        <v>0</v>
      </c>
      <c r="E17" s="91" t="s">
        <v>89</v>
      </c>
      <c r="F17" s="41" t="s">
        <v>92</v>
      </c>
      <c r="G17" s="42"/>
    </row>
    <row r="18" ht="24" customHeight="1" spans="1:7">
      <c r="A18" s="87">
        <v>11</v>
      </c>
      <c r="B18" s="38" t="s">
        <v>93</v>
      </c>
      <c r="C18" s="38" t="s">
        <v>62</v>
      </c>
      <c r="D18" s="53">
        <v>0.088</v>
      </c>
      <c r="E18" s="96">
        <v>1</v>
      </c>
      <c r="F18" s="41" t="s">
        <v>94</v>
      </c>
      <c r="G18" s="42"/>
    </row>
    <row r="19" ht="24" customHeight="1" spans="1:7">
      <c r="A19" s="87">
        <v>12</v>
      </c>
      <c r="B19" s="38" t="s">
        <v>95</v>
      </c>
      <c r="C19" s="38" t="s">
        <v>62</v>
      </c>
      <c r="D19" s="52">
        <v>1.96</v>
      </c>
      <c r="E19" s="38">
        <v>250</v>
      </c>
      <c r="F19" s="41" t="s">
        <v>96</v>
      </c>
      <c r="G19" s="42"/>
    </row>
    <row r="20" ht="24" customHeight="1" spans="1:7">
      <c r="A20" s="87">
        <v>13</v>
      </c>
      <c r="B20" s="38" t="s">
        <v>97</v>
      </c>
      <c r="C20" s="38" t="s">
        <v>62</v>
      </c>
      <c r="D20" s="52">
        <v>0.72</v>
      </c>
      <c r="E20" s="38">
        <v>10</v>
      </c>
      <c r="F20" s="41" t="s">
        <v>98</v>
      </c>
      <c r="G20" s="42"/>
    </row>
    <row r="21" ht="24" customHeight="1" spans="1:7">
      <c r="A21" s="87">
        <v>14</v>
      </c>
      <c r="B21" s="38" t="s">
        <v>99</v>
      </c>
      <c r="C21" s="38" t="s">
        <v>62</v>
      </c>
      <c r="D21" s="52">
        <v>8.71</v>
      </c>
      <c r="E21" s="38">
        <v>250</v>
      </c>
      <c r="F21" s="41" t="s">
        <v>100</v>
      </c>
      <c r="G21" s="42"/>
    </row>
    <row r="22" ht="24" customHeight="1" spans="1:7">
      <c r="A22" s="87">
        <v>15</v>
      </c>
      <c r="B22" s="97" t="s">
        <v>101</v>
      </c>
      <c r="C22" s="98" t="s">
        <v>62</v>
      </c>
      <c r="D22" s="99">
        <v>0.184</v>
      </c>
      <c r="E22" s="98">
        <v>0.7</v>
      </c>
      <c r="F22" s="100" t="s">
        <v>102</v>
      </c>
      <c r="G22" s="101"/>
    </row>
    <row r="23" ht="24" customHeight="1" spans="1:7">
      <c r="A23" s="87">
        <v>16</v>
      </c>
      <c r="B23" s="97" t="s">
        <v>103</v>
      </c>
      <c r="C23" s="98" t="s">
        <v>62</v>
      </c>
      <c r="D23" s="99">
        <v>0.098</v>
      </c>
      <c r="E23" s="98">
        <v>0.7</v>
      </c>
      <c r="F23" s="100" t="s">
        <v>102</v>
      </c>
      <c r="G23" s="101"/>
    </row>
    <row r="24" ht="24" customHeight="1" spans="1:7">
      <c r="A24" s="87">
        <v>17</v>
      </c>
      <c r="B24" s="55" t="s">
        <v>104</v>
      </c>
      <c r="C24" s="55" t="s">
        <v>62</v>
      </c>
      <c r="D24" s="56" t="s">
        <v>105</v>
      </c>
      <c r="E24" s="55">
        <v>0.05</v>
      </c>
      <c r="F24" s="102" t="s">
        <v>106</v>
      </c>
      <c r="G24" s="103"/>
    </row>
    <row r="25" ht="24" customHeight="1" spans="1:7">
      <c r="A25" s="87">
        <v>18</v>
      </c>
      <c r="B25" s="55" t="s">
        <v>107</v>
      </c>
      <c r="C25" s="55" t="s">
        <v>62</v>
      </c>
      <c r="D25" s="56" t="s">
        <v>108</v>
      </c>
      <c r="E25" s="55">
        <v>0.1</v>
      </c>
      <c r="F25" s="102" t="s">
        <v>109</v>
      </c>
      <c r="G25" s="103"/>
    </row>
    <row r="26" ht="24" customHeight="1" spans="1:7">
      <c r="A26" s="87">
        <v>19</v>
      </c>
      <c r="B26" s="104" t="s">
        <v>110</v>
      </c>
      <c r="C26" s="38" t="s">
        <v>62</v>
      </c>
      <c r="D26" s="105" t="s">
        <v>111</v>
      </c>
      <c r="E26" s="40">
        <v>1</v>
      </c>
      <c r="F26" s="41" t="s">
        <v>112</v>
      </c>
      <c r="G26" s="42"/>
    </row>
    <row r="27" ht="24" customHeight="1" spans="1:7">
      <c r="A27" s="87">
        <v>20</v>
      </c>
      <c r="B27" s="37" t="s">
        <v>113</v>
      </c>
      <c r="C27" s="38" t="s">
        <v>62</v>
      </c>
      <c r="D27" s="39" t="s">
        <v>114</v>
      </c>
      <c r="E27" s="37">
        <v>0.3</v>
      </c>
      <c r="F27" s="41" t="s">
        <v>115</v>
      </c>
      <c r="G27" s="42"/>
    </row>
    <row r="28" ht="24" customHeight="1" spans="1:7">
      <c r="A28" s="87">
        <v>21</v>
      </c>
      <c r="B28" s="37" t="s">
        <v>116</v>
      </c>
      <c r="C28" s="38" t="s">
        <v>62</v>
      </c>
      <c r="D28" s="39" t="s">
        <v>111</v>
      </c>
      <c r="E28" s="37">
        <v>0.1</v>
      </c>
      <c r="F28" s="41" t="s">
        <v>117</v>
      </c>
      <c r="G28" s="42"/>
    </row>
    <row r="29" ht="24" customHeight="1" spans="1:7">
      <c r="A29" s="87">
        <v>22</v>
      </c>
      <c r="B29" s="106" t="s">
        <v>118</v>
      </c>
      <c r="C29" s="46" t="s">
        <v>62</v>
      </c>
      <c r="D29" s="44" t="s">
        <v>119</v>
      </c>
      <c r="E29" s="106">
        <v>0.01</v>
      </c>
      <c r="F29" s="41" t="s">
        <v>120</v>
      </c>
      <c r="G29" s="42"/>
    </row>
    <row r="30" spans="7:7">
      <c r="G30" s="107"/>
    </row>
    <row r="31" ht="15" spans="1:7">
      <c r="A31" s="76" t="s">
        <v>121</v>
      </c>
      <c r="B31" s="76"/>
      <c r="C31" s="76"/>
      <c r="D31" s="76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8" sqref="D28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10.375" style="14" customWidth="1"/>
    <col min="7" max="7" width="17.625" style="14" customWidth="1"/>
    <col min="8" max="16384" width="9" style="14"/>
  </cols>
  <sheetData>
    <row r="1" ht="50.1" customHeight="1" spans="1:7">
      <c r="A1" s="15" t="str">
        <f>凤凰3!A1</f>
        <v>国家城市供水水质监测网重庆监测站 ( 10)字( 2026)第( 0196 )号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凤凰3!C4</f>
        <v>出厂水</v>
      </c>
      <c r="D4" s="20"/>
      <c r="E4" s="21" t="s">
        <v>34</v>
      </c>
      <c r="F4" s="22" t="str">
        <f>凤凰3!F4</f>
        <v>W260202C09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62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62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62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62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62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62</v>
      </c>
      <c r="D13" s="51" t="s">
        <v>139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62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62</v>
      </c>
      <c r="D15" s="52" t="s">
        <v>133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62</v>
      </c>
      <c r="D16" s="52" t="s">
        <v>133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62</v>
      </c>
      <c r="D17" s="53" t="s">
        <v>111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62</v>
      </c>
      <c r="D18" s="54">
        <v>123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62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62</v>
      </c>
      <c r="D20" s="59">
        <v>141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62</v>
      </c>
      <c r="D21" s="61" t="s">
        <v>158</v>
      </c>
      <c r="E21" s="60">
        <v>0.06</v>
      </c>
      <c r="F21" s="62" t="s">
        <v>159</v>
      </c>
      <c r="G21" s="63"/>
    </row>
    <row r="22" ht="24" customHeight="1" spans="1:7">
      <c r="A22" s="36">
        <v>37</v>
      </c>
      <c r="B22" s="60" t="s">
        <v>160</v>
      </c>
      <c r="C22" s="60" t="s">
        <v>62</v>
      </c>
      <c r="D22" s="61" t="s">
        <v>158</v>
      </c>
      <c r="E22" s="60">
        <v>0.002</v>
      </c>
      <c r="F22" s="62" t="s">
        <v>159</v>
      </c>
      <c r="G22" s="63"/>
    </row>
    <row r="23" ht="24" customHeight="1" spans="1:7">
      <c r="A23" s="36">
        <v>38</v>
      </c>
      <c r="B23" s="60" t="s">
        <v>161</v>
      </c>
      <c r="C23" s="60" t="s">
        <v>62</v>
      </c>
      <c r="D23" s="61" t="s">
        <v>162</v>
      </c>
      <c r="E23" s="60">
        <v>0.06</v>
      </c>
      <c r="F23" s="62" t="s">
        <v>159</v>
      </c>
      <c r="G23" s="63"/>
    </row>
    <row r="24" ht="24" customHeight="1" spans="1:7">
      <c r="A24" s="36">
        <v>39</v>
      </c>
      <c r="B24" s="60" t="s">
        <v>163</v>
      </c>
      <c r="C24" s="60" t="s">
        <v>62</v>
      </c>
      <c r="D24" s="64" t="s">
        <v>164</v>
      </c>
      <c r="E24" s="60">
        <v>0.1</v>
      </c>
      <c r="F24" s="62" t="s">
        <v>159</v>
      </c>
      <c r="G24" s="63"/>
    </row>
    <row r="25" ht="24" customHeight="1" spans="1:7">
      <c r="A25" s="36">
        <v>40</v>
      </c>
      <c r="B25" s="60" t="s">
        <v>165</v>
      </c>
      <c r="C25" s="60" t="s">
        <v>62</v>
      </c>
      <c r="D25" s="65" t="s">
        <v>166</v>
      </c>
      <c r="E25" s="60">
        <v>0.1</v>
      </c>
      <c r="F25" s="62" t="s">
        <v>159</v>
      </c>
      <c r="G25" s="63"/>
    </row>
    <row r="26" ht="24" customHeight="1" spans="1:7">
      <c r="A26" s="36">
        <v>41</v>
      </c>
      <c r="B26" s="55" t="s">
        <v>167</v>
      </c>
      <c r="C26" s="55" t="s">
        <v>45</v>
      </c>
      <c r="D26" s="66" t="s">
        <v>168</v>
      </c>
      <c r="E26" s="67" t="s">
        <v>169</v>
      </c>
      <c r="F26" s="62" t="s">
        <v>159</v>
      </c>
      <c r="G26" s="63"/>
    </row>
    <row r="27" ht="24" customHeight="1" spans="1:7">
      <c r="A27" s="36">
        <v>42</v>
      </c>
      <c r="B27" s="68" t="s">
        <v>170</v>
      </c>
      <c r="C27" s="68" t="s">
        <v>171</v>
      </c>
      <c r="D27" s="69" t="s">
        <v>172</v>
      </c>
      <c r="E27" s="68" t="s">
        <v>173</v>
      </c>
      <c r="F27" s="70" t="s">
        <v>174</v>
      </c>
      <c r="G27" s="70"/>
    </row>
    <row r="28" ht="24" customHeight="1" spans="1:7">
      <c r="A28" s="36">
        <v>43</v>
      </c>
      <c r="B28" s="68" t="s">
        <v>175</v>
      </c>
      <c r="C28" s="68" t="s">
        <v>171</v>
      </c>
      <c r="D28" s="69" t="s">
        <v>176</v>
      </c>
      <c r="E28" s="68" t="s">
        <v>177</v>
      </c>
      <c r="F28" s="70" t="s">
        <v>178</v>
      </c>
      <c r="G28" s="70"/>
    </row>
    <row r="29" ht="24" customHeight="1" spans="1:7">
      <c r="A29" s="71" t="s">
        <v>179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121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4" sqref="C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凤凰4!A1</f>
        <v>国家城市供水水质监测网重庆监测站 ( 10)字( 2026)第( 0196 )号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凤凰水厂</vt:lpstr>
      <vt:lpstr>凤凰2</vt:lpstr>
      <vt:lpstr>凤凰3</vt:lpstr>
      <vt:lpstr>凤凰4</vt:lpstr>
      <vt:lpstr>凤凰5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2026-02-26T04:39:46Z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